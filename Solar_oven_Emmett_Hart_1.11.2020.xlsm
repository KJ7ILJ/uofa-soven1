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ownloads\"/>
    </mc:Choice>
  </mc:AlternateContent>
  <xr:revisionPtr revIDLastSave="0" documentId="13_ncr:1_{B8B19110-D576-4188-A353-D9D6BF39C1F6}" xr6:coauthVersionLast="44" xr6:coauthVersionMax="44" xr10:uidLastSave="{00000000-0000-0000-0000-000000000000}"/>
  <bookViews>
    <workbookView xWindow="-19320" yWindow="-120" windowWidth="19440" windowHeight="15600" xr2:uid="{4281EDDA-E360-4493-BA5F-83AA6A1F460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15" i="1" l="1"/>
  <c r="S15" i="1"/>
  <c r="T15" i="1"/>
  <c r="S14" i="1"/>
  <c r="T14" i="1"/>
  <c r="Q14" i="1"/>
  <c r="Q16" i="1" s="1"/>
  <c r="R14" i="1"/>
  <c r="R16" i="1"/>
  <c r="S16" i="1"/>
  <c r="T16" i="1"/>
  <c r="T13" i="1"/>
  <c r="Q15" i="1" l="1"/>
  <c r="H9" i="1"/>
  <c r="C9" i="1" l="1"/>
  <c r="T3" i="1"/>
  <c r="T9" i="1" s="1"/>
  <c r="R5" i="1"/>
  <c r="S5" i="1"/>
  <c r="T5" i="1"/>
  <c r="T6" i="1" s="1"/>
  <c r="Q5" i="1"/>
  <c r="R12" i="1"/>
  <c r="S12" i="1"/>
  <c r="T12" i="1"/>
  <c r="Q12" i="1"/>
  <c r="S6" i="1" l="1"/>
  <c r="R6" i="1"/>
  <c r="Q6" i="1"/>
  <c r="E5" i="1"/>
  <c r="E6" i="1"/>
  <c r="T10" i="1"/>
  <c r="S13" i="1" l="1"/>
  <c r="S3" i="1"/>
  <c r="S9" i="1" s="1"/>
  <c r="R13" i="1"/>
  <c r="R3" i="1"/>
  <c r="R9" i="1" s="1"/>
  <c r="Q13" i="1"/>
  <c r="Q3" i="1"/>
  <c r="Q9" i="1" s="1"/>
  <c r="D6" i="1" l="1"/>
  <c r="S10" i="1"/>
  <c r="D5" i="1" s="1"/>
  <c r="C6" i="1"/>
  <c r="R10" i="1"/>
  <c r="C5" i="1" s="1"/>
  <c r="Q10" i="1"/>
  <c r="B5" i="1" s="1"/>
  <c r="B6" i="1"/>
</calcChain>
</file>

<file path=xl/sharedStrings.xml><?xml version="1.0" encoding="utf-8"?>
<sst xmlns="http://schemas.openxmlformats.org/spreadsheetml/2006/main" count="98" uniqueCount="81">
  <si>
    <t>a</t>
  </si>
  <si>
    <r>
      <t>T</t>
    </r>
    <r>
      <rPr>
        <vertAlign val="subscript"/>
        <sz val="11"/>
        <color theme="1"/>
        <rFont val="Calibri"/>
        <family val="2"/>
        <scheme val="minor"/>
      </rPr>
      <t>A</t>
    </r>
  </si>
  <si>
    <t>τ</t>
  </si>
  <si>
    <r>
      <t>I</t>
    </r>
    <r>
      <rPr>
        <vertAlign val="subscript"/>
        <sz val="11"/>
        <color theme="1"/>
        <rFont val="Calibri"/>
        <family val="2"/>
        <scheme val="minor"/>
      </rPr>
      <t>o</t>
    </r>
  </si>
  <si>
    <r>
      <rPr>
        <sz val="11"/>
        <color theme="1"/>
        <rFont val="Calibri"/>
        <family val="2"/>
      </rPr>
      <t>θ</t>
    </r>
    <r>
      <rPr>
        <vertAlign val="subscript"/>
        <sz val="11"/>
        <color theme="1"/>
        <rFont val="Calibri"/>
        <family val="2"/>
      </rPr>
      <t>s</t>
    </r>
  </si>
  <si>
    <t>β</t>
  </si>
  <si>
    <t xml:space="preserve">Fixid input parameters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</si>
  <si>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L</t>
  </si>
  <si>
    <t>W</t>
  </si>
  <si>
    <t>h</t>
  </si>
  <si>
    <r>
      <t>A</t>
    </r>
    <r>
      <rPr>
        <vertAlign val="subscript"/>
        <sz val="11"/>
        <color theme="1"/>
        <rFont val="Calibri"/>
        <family val="2"/>
        <scheme val="minor"/>
      </rPr>
      <t>w</t>
    </r>
  </si>
  <si>
    <r>
      <t>A</t>
    </r>
    <r>
      <rPr>
        <vertAlign val="subscript"/>
        <sz val="11"/>
        <color theme="1"/>
        <rFont val="Calibri"/>
        <family val="2"/>
        <scheme val="minor"/>
      </rPr>
      <t>sb</t>
    </r>
  </si>
  <si>
    <r>
      <t>V</t>
    </r>
    <r>
      <rPr>
        <vertAlign val="subscript"/>
        <sz val="11"/>
        <color theme="1"/>
        <rFont val="Calibri"/>
        <family val="2"/>
        <scheme val="minor"/>
      </rPr>
      <t>chamber</t>
    </r>
  </si>
  <si>
    <r>
      <t>U</t>
    </r>
    <r>
      <rPr>
        <vertAlign val="subscript"/>
        <sz val="11"/>
        <color theme="1"/>
        <rFont val="Calibri"/>
        <family val="2"/>
        <scheme val="minor"/>
      </rPr>
      <t>sb</t>
    </r>
  </si>
  <si>
    <t>x1</t>
  </si>
  <si>
    <t>x2</t>
  </si>
  <si>
    <t>x3</t>
  </si>
  <si>
    <t>k1</t>
  </si>
  <si>
    <t>k2</t>
  </si>
  <si>
    <t>k3</t>
  </si>
  <si>
    <t>Transmissivity for a single layer of mylar</t>
  </si>
  <si>
    <t>absorption factor of oven chamber and contents</t>
  </si>
  <si>
    <t>Ambient Temperature</t>
  </si>
  <si>
    <t>Solar power density</t>
  </si>
  <si>
    <t>angle of the suns rays with respect to ground</t>
  </si>
  <si>
    <t>angle of the top surface of oven with respect to ground</t>
  </si>
  <si>
    <t>Length of oven window</t>
  </si>
  <si>
    <t>width of oven window</t>
  </si>
  <si>
    <t>height of oven chamber</t>
  </si>
  <si>
    <t>Area of sides and bottom</t>
  </si>
  <si>
    <t>Volume of oven</t>
  </si>
  <si>
    <t>Inner cardboard wall thickness</t>
  </si>
  <si>
    <t>insulation thickness</t>
  </si>
  <si>
    <t>outer cardboard wall thickness</t>
  </si>
  <si>
    <t>inner cardboard wall thermal conductivity</t>
  </si>
  <si>
    <t>heat transfer coefficient (sides and bottom)</t>
  </si>
  <si>
    <t>insulation thermal conductivity</t>
  </si>
  <si>
    <t>outer cardboard wall thermal conductivity</t>
  </si>
  <si>
    <t>Variable input parameters</t>
  </si>
  <si>
    <t>Design input parameters</t>
  </si>
  <si>
    <t>Calculated input parameters</t>
  </si>
  <si>
    <r>
      <t>(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C)</t>
    </r>
  </si>
  <si>
    <t>(W/m^2)</t>
  </si>
  <si>
    <t>m</t>
  </si>
  <si>
    <t>m^2</t>
  </si>
  <si>
    <t>m^3</t>
  </si>
  <si>
    <t>coeff</t>
  </si>
  <si>
    <t>Area of oven window</t>
  </si>
  <si>
    <r>
      <t>w/m*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</t>
    </r>
  </si>
  <si>
    <t>Variables for heat coefficient calculation</t>
  </si>
  <si>
    <t>combo 1</t>
  </si>
  <si>
    <t>Combo 2</t>
  </si>
  <si>
    <t>Combo 3</t>
  </si>
  <si>
    <t>Combo 4</t>
  </si>
  <si>
    <r>
      <t>T</t>
    </r>
    <r>
      <rPr>
        <vertAlign val="subscript"/>
        <sz val="11"/>
        <color theme="1"/>
        <rFont val="Calibri"/>
        <family val="2"/>
        <scheme val="minor"/>
      </rPr>
      <t>io</t>
    </r>
  </si>
  <si>
    <t>T_0</t>
  </si>
  <si>
    <r>
      <t>U</t>
    </r>
    <r>
      <rPr>
        <vertAlign val="subscript"/>
        <sz val="11"/>
        <color theme="1"/>
        <rFont val="Calibri"/>
        <family val="2"/>
        <scheme val="minor"/>
      </rPr>
      <t xml:space="preserve">w,single  </t>
    </r>
    <r>
      <rPr>
        <sz val="11"/>
        <color theme="1"/>
        <rFont val="Calibri"/>
        <family val="2"/>
        <scheme val="minor"/>
      </rPr>
      <t>w/m*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</t>
    </r>
  </si>
  <si>
    <r>
      <t>U</t>
    </r>
    <r>
      <rPr>
        <vertAlign val="subscript"/>
        <sz val="11"/>
        <color theme="1"/>
        <rFont val="Calibri"/>
        <family val="2"/>
        <scheme val="minor"/>
      </rPr>
      <t xml:space="preserve">w,double  </t>
    </r>
    <r>
      <rPr>
        <sz val="11"/>
        <color theme="1"/>
        <rFont val="Calibri"/>
        <family val="2"/>
        <scheme val="minor"/>
      </rPr>
      <t>w/m*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</t>
    </r>
  </si>
  <si>
    <t>Finding the equation of the thermal conductivity of the window</t>
  </si>
  <si>
    <t>Single layer</t>
  </si>
  <si>
    <t>Two layer</t>
  </si>
  <si>
    <t>SL calc</t>
  </si>
  <si>
    <t>DL calc</t>
  </si>
  <si>
    <t>w</t>
  </si>
  <si>
    <t>l</t>
  </si>
  <si>
    <t>width of oven chamber</t>
  </si>
  <si>
    <t>Length of oven chamber</t>
  </si>
  <si>
    <t>r</t>
  </si>
  <si>
    <t>Reflectivity of Aluminum foil</t>
  </si>
  <si>
    <t>M/L</t>
  </si>
  <si>
    <t>Ratio of reflector length to windo length</t>
  </si>
  <si>
    <t>M</t>
  </si>
  <si>
    <t>Ω</t>
  </si>
  <si>
    <t>G</t>
  </si>
  <si>
    <t>degree</t>
  </si>
  <si>
    <t>length of reflector</t>
  </si>
  <si>
    <t>angle of sunlight with respect to the reflectors</t>
  </si>
  <si>
    <t>lid angle</t>
  </si>
  <si>
    <t>gain from adding reflectors</t>
  </si>
  <si>
    <t>why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</si>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</sst>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2" fillId="2" borderId="0" xfId="0" applyFont="1" applyFill="1"/>
    <xf numFmtId="0" fontId="0" fillId="3" borderId="0" xfId="0" applyFill="1"/>
    <xf numFmtId="0" fontId="2" fillId="3" borderId="0" xfId="0" applyFont="1" applyFill="1"/>
    <xf numFmtId="0" fontId="3" fillId="3" borderId="0" xfId="0" applyFont="1" applyFill="1"/>
    <xf numFmtId="0" fontId="0" fillId="4" borderId="0" xfId="0" applyFill="1"/>
    <xf numFmtId="0" fontId="0" fillId="4" borderId="0" xfId="0" applyFont="1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6" borderId="0" xfId="0" applyFont="1" applyFill="1"/>
    <xf numFmtId="0" fontId="0" fillId="0" borderId="0" xfId="0" applyAlignment="1">
      <alignment horizontal="center"/>
    </xf>
    <xf numFmtId="0" fontId="2" fillId="0" borderId="0" xfId="0" applyFont="1" applyFill="1"/>
    <xf numFmtId="0" fontId="0" fillId="7" borderId="0" xfId="0" applyFill="1"/>
    <xf numFmtId="0" fontId="2" fillId="4" borderId="0" xfId="0" applyFont="1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U</a:t>
            </a:r>
            <a:r>
              <a:rPr lang="en-US" sz="1400" b="0" i="0" u="none" strike="noStrike" baseline="-25000">
                <a:effectLst/>
              </a:rPr>
              <a:t>w,single  </a:t>
            </a:r>
            <a:r>
              <a:rPr lang="en-US" sz="1400" b="0" i="0" u="none" strike="noStrike" baseline="0">
                <a:effectLst/>
              </a:rPr>
              <a:t>w/m*</a:t>
            </a:r>
            <a:r>
              <a:rPr lang="en-US" sz="1400" b="0" i="0" u="none" strike="noStrike" baseline="30000">
                <a:effectLst/>
              </a:rPr>
              <a:t>o</a:t>
            </a:r>
            <a:r>
              <a:rPr lang="en-US" sz="1400" b="0" i="0" u="none" strike="noStrike" baseline="0">
                <a:effectLst/>
              </a:rPr>
              <a:t>C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2"/>
            <c:forward val="10"/>
            <c:backward val="10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Sheet1!$B$13:$B$18</c:f>
              <c:numCache>
                <c:formatCode>General</c:formatCode>
                <c:ptCount val="6"/>
                <c:pt idx="0">
                  <c:v>66</c:v>
                </c:pt>
                <c:pt idx="1">
                  <c:v>93</c:v>
                </c:pt>
                <c:pt idx="2">
                  <c:v>121</c:v>
                </c:pt>
                <c:pt idx="3">
                  <c:v>149</c:v>
                </c:pt>
                <c:pt idx="4">
                  <c:v>177</c:v>
                </c:pt>
                <c:pt idx="5">
                  <c:v>204</c:v>
                </c:pt>
              </c:numCache>
            </c:numRef>
          </c:xVal>
          <c:yVal>
            <c:numRef>
              <c:f>Sheet1!$C$13:$C$18</c:f>
              <c:numCache>
                <c:formatCode>General</c:formatCode>
                <c:ptCount val="6"/>
                <c:pt idx="0">
                  <c:v>10.1</c:v>
                </c:pt>
                <c:pt idx="1">
                  <c:v>13.9</c:v>
                </c:pt>
                <c:pt idx="2">
                  <c:v>18.66</c:v>
                </c:pt>
                <c:pt idx="3">
                  <c:v>24.34</c:v>
                </c:pt>
                <c:pt idx="4">
                  <c:v>31.6</c:v>
                </c:pt>
                <c:pt idx="5">
                  <c:v>40.11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7C-438F-A81C-0ACE2FFFA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8712048"/>
        <c:axId val="1788806496"/>
      </c:scatterChart>
      <c:valAx>
        <c:axId val="1668712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806496"/>
        <c:crosses val="autoZero"/>
        <c:crossBetween val="midCat"/>
      </c:valAx>
      <c:valAx>
        <c:axId val="178880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8712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</a:t>
            </a:r>
            <a:r>
              <a:rPr lang="en-US" baseline="-25000"/>
              <a:t>w,double  </a:t>
            </a:r>
            <a:r>
              <a:rPr lang="en-US"/>
              <a:t>w/m*oC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Sheet1!$D$12</c:f>
              <c:strCache>
                <c:ptCount val="1"/>
                <c:pt idx="0">
                  <c:v>Uw,double  w/m*oC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2"/>
            <c:forward val="10"/>
            <c:backward val="10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Sheet1!$B$13:$B$18</c:f>
              <c:numCache>
                <c:formatCode>General</c:formatCode>
                <c:ptCount val="6"/>
                <c:pt idx="0">
                  <c:v>66</c:v>
                </c:pt>
                <c:pt idx="1">
                  <c:v>93</c:v>
                </c:pt>
                <c:pt idx="2">
                  <c:v>121</c:v>
                </c:pt>
                <c:pt idx="3">
                  <c:v>149</c:v>
                </c:pt>
                <c:pt idx="4">
                  <c:v>177</c:v>
                </c:pt>
                <c:pt idx="5">
                  <c:v>204</c:v>
                </c:pt>
              </c:numCache>
            </c:numRef>
          </c:xVal>
          <c:yVal>
            <c:numRef>
              <c:f>Sheet1!$D$13:$D$18</c:f>
              <c:numCache>
                <c:formatCode>General</c:formatCode>
                <c:ptCount val="6"/>
                <c:pt idx="0">
                  <c:v>4.88</c:v>
                </c:pt>
                <c:pt idx="1">
                  <c:v>6.69</c:v>
                </c:pt>
                <c:pt idx="2">
                  <c:v>8.9600000000000009</c:v>
                </c:pt>
                <c:pt idx="3">
                  <c:v>11.74</c:v>
                </c:pt>
                <c:pt idx="4">
                  <c:v>15.2</c:v>
                </c:pt>
                <c:pt idx="5">
                  <c:v>19.350000000000001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42-4DBB-88EB-D7B7E81DC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66496"/>
        <c:axId val="1788795264"/>
      </c:scatterChart>
      <c:valAx>
        <c:axId val="1827966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795264"/>
        <c:crosses val="autoZero"/>
        <c:crossBetween val="midCat"/>
      </c:valAx>
      <c:valAx>
        <c:axId val="178879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966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18</xdr:row>
      <xdr:rowOff>28575</xdr:rowOff>
    </xdr:from>
    <xdr:to>
      <xdr:col>7</xdr:col>
      <xdr:colOff>219075</xdr:colOff>
      <xdr:row>32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247650</xdr:colOff>
      <xdr:row>18</xdr:row>
      <xdr:rowOff>28575</xdr:rowOff>
    </xdr:from>
    <xdr:to>
      <xdr:col>14</xdr:col>
      <xdr:colOff>552450</xdr:colOff>
      <xdr:row>32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6</xdr:row>
          <xdr:rowOff>152400</xdr:rowOff>
        </xdr:from>
        <xdr:to>
          <xdr:col>2</xdr:col>
          <xdr:colOff>276225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 calc Goal Seek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8</xdr:row>
          <xdr:rowOff>9525</xdr:rowOff>
        </xdr:from>
        <xdr:to>
          <xdr:col>2</xdr:col>
          <xdr:colOff>295275</xdr:colOff>
          <xdr:row>9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DL Cal Goal Seek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340C-7F5B-48E9-A2F2-2D8271577798}">
  <sheetPr codeName="Sheet1"/>
  <dimension ref="A1:AA23"/>
  <sheetViews>
    <sheetView tabSelected="1" zoomScaleNormal="100" workbookViewId="0">
      <selection activeCell="B4" sqref="B4:E4"/>
    </sheetView>
  </sheetViews>
  <sheetFormatPr defaultRowHeight="15" x14ac:dyDescent="0.25"/>
  <cols>
    <col min="1" max="1" width="11.28515625" bestFit="1" customWidth="1"/>
    <col min="2" max="2" width="10" customWidth="1"/>
    <col min="3" max="3" width="14.7109375" bestFit="1" customWidth="1"/>
    <col min="4" max="4" width="15.5703125" customWidth="1"/>
  </cols>
  <sheetData>
    <row r="1" spans="1:27" ht="18" x14ac:dyDescent="0.35">
      <c r="B1" s="16" t="s">
        <v>54</v>
      </c>
      <c r="C1" s="16"/>
      <c r="D1" s="16"/>
      <c r="E1" s="16"/>
      <c r="G1" s="3" t="s">
        <v>6</v>
      </c>
      <c r="H1" s="3"/>
      <c r="I1" s="3"/>
      <c r="P1" s="8" t="s">
        <v>39</v>
      </c>
      <c r="Q1" s="9"/>
      <c r="R1" s="9"/>
      <c r="S1" s="9"/>
      <c r="T1" s="9"/>
      <c r="U1" s="9"/>
      <c r="V1" s="9"/>
      <c r="AA1" t="s">
        <v>79</v>
      </c>
    </row>
    <row r="2" spans="1:27" x14ac:dyDescent="0.25">
      <c r="B2" t="s">
        <v>50</v>
      </c>
      <c r="C2" t="s">
        <v>51</v>
      </c>
      <c r="D2" t="s">
        <v>52</v>
      </c>
      <c r="E2" t="s">
        <v>53</v>
      </c>
      <c r="G2" s="4" t="s">
        <v>2</v>
      </c>
      <c r="H2" s="3">
        <v>0.92</v>
      </c>
      <c r="I2" s="3" t="s">
        <v>20</v>
      </c>
      <c r="P2" s="9" t="s">
        <v>7</v>
      </c>
      <c r="Q2" s="9">
        <v>0.1</v>
      </c>
      <c r="R2" s="9">
        <v>0.1</v>
      </c>
      <c r="S2" s="9">
        <v>0.1</v>
      </c>
      <c r="T2" s="9">
        <v>0.1</v>
      </c>
      <c r="U2" s="9" t="s">
        <v>43</v>
      </c>
      <c r="V2" s="9" t="s">
        <v>26</v>
      </c>
    </row>
    <row r="3" spans="1:27" x14ac:dyDescent="0.25">
      <c r="A3" t="s">
        <v>59</v>
      </c>
      <c r="B3">
        <v>137.58598066303341</v>
      </c>
      <c r="C3">
        <v>137.58598066360292</v>
      </c>
      <c r="D3">
        <v>137.58598066352593</v>
      </c>
      <c r="E3">
        <v>137.58598065802178</v>
      </c>
      <c r="G3" s="5" t="s">
        <v>0</v>
      </c>
      <c r="H3" s="3">
        <v>0.9</v>
      </c>
      <c r="I3" s="3" t="s">
        <v>21</v>
      </c>
      <c r="P3" s="9" t="s">
        <v>8</v>
      </c>
      <c r="Q3" s="6">
        <f>Q2</f>
        <v>0.1</v>
      </c>
      <c r="R3" s="6">
        <f t="shared" ref="R3:T3" si="0">R2</f>
        <v>0.1</v>
      </c>
      <c r="S3" s="6">
        <f t="shared" si="0"/>
        <v>0.1</v>
      </c>
      <c r="T3" s="6">
        <f t="shared" si="0"/>
        <v>0.1</v>
      </c>
      <c r="U3" s="6" t="s">
        <v>43</v>
      </c>
      <c r="V3" s="9" t="s">
        <v>27</v>
      </c>
    </row>
    <row r="4" spans="1:27" x14ac:dyDescent="0.25">
      <c r="A4" t="s">
        <v>60</v>
      </c>
      <c r="B4" t="s">
        <v>80</v>
      </c>
      <c r="C4">
        <v>177.39516850255379</v>
      </c>
      <c r="D4">
        <v>177.39516850255697</v>
      </c>
      <c r="E4">
        <v>177.39516850248199</v>
      </c>
      <c r="G4" s="5" t="s">
        <v>67</v>
      </c>
      <c r="H4" s="3">
        <v>0.7</v>
      </c>
      <c r="I4" s="3" t="s">
        <v>68</v>
      </c>
      <c r="J4" s="3"/>
      <c r="P4" s="9" t="s">
        <v>9</v>
      </c>
      <c r="Q4" s="9">
        <v>0.06</v>
      </c>
      <c r="R4" s="9">
        <v>0.06</v>
      </c>
      <c r="S4" s="9">
        <v>0.06</v>
      </c>
      <c r="T4" s="9">
        <v>0.06</v>
      </c>
      <c r="U4" s="9" t="s">
        <v>43</v>
      </c>
      <c r="V4" s="9" t="s">
        <v>28</v>
      </c>
    </row>
    <row r="5" spans="1:27" x14ac:dyDescent="0.25">
      <c r="A5" t="s">
        <v>61</v>
      </c>
      <c r="B5">
        <f>B3-$H$6-($H$7*Q$9*$H$2^2*$H$3*SIN(RADIANS($H$8+$H$9))*Q16)/(Q$12*Q10+(0.0004*B3^2+0.0008*B3+3.317)*Q$9)</f>
        <v>-4.9215995261420176E-4</v>
      </c>
      <c r="C5">
        <f t="shared" ref="C5:E5" si="1">C3-$H$6-($H$7*R$9*$H$2^2*$H$3*SIN(RADIANS($H$8+$H$9))*R16)/(R$12*R10+(0.0004*C3^2+0.0008*C3+3.317)*R$9)</f>
        <v>-4.9215905987409769E-4</v>
      </c>
      <c r="D5">
        <f t="shared" si="1"/>
        <v>-4.9215918058109764E-4</v>
      </c>
      <c r="E5">
        <f t="shared" si="1"/>
        <v>-4.921678084741643E-4</v>
      </c>
      <c r="G5" s="1" t="s">
        <v>38</v>
      </c>
      <c r="H5" s="1"/>
      <c r="I5" s="1"/>
      <c r="J5" s="1" t="s">
        <v>22</v>
      </c>
      <c r="P5" s="9" t="s">
        <v>63</v>
      </c>
      <c r="Q5" s="14">
        <f>SQRT(Q11/Q4)</f>
        <v>0.12909944487358055</v>
      </c>
      <c r="R5" s="14">
        <f>SQRT(R11/R4)</f>
        <v>0.12909944487358055</v>
      </c>
      <c r="S5" s="14">
        <f>SQRT(S11/S4)</f>
        <v>0.12909944487358055</v>
      </c>
      <c r="T5" s="14">
        <f>SQRT(T11/T4)</f>
        <v>0.12909944487358055</v>
      </c>
      <c r="U5" s="14" t="s">
        <v>43</v>
      </c>
      <c r="V5" s="9" t="s">
        <v>65</v>
      </c>
    </row>
    <row r="6" spans="1:27" ht="18.75" x14ac:dyDescent="0.35">
      <c r="A6" t="s">
        <v>62</v>
      </c>
      <c r="B6" t="e">
        <f>B4-$H$6-($H$7*Q$9*$H$2^2*$H$3*SIN(RADIANS($H$8+$H$9))*Q16)/(Q$12*Q11+(0.0004*B4^2+0.0008*B4+3.317)*Q$9)</f>
        <v>#VALUE!</v>
      </c>
      <c r="C6">
        <f t="shared" ref="C6:E6" si="2">C4-$H$6-($H$7*R$9*$H$2^2*$H$3*SIN(RADIANS($H$8+$H$9))*R16)/(R$12*R11+(0.0004*C4^2+0.0008*C4+3.317)*R$9)</f>
        <v>-2.6158982393553742E-6</v>
      </c>
      <c r="D6">
        <f t="shared" si="2"/>
        <v>-2.6158907928675035E-6</v>
      </c>
      <c r="E6">
        <f t="shared" si="2"/>
        <v>-2.6160661263929796E-6</v>
      </c>
      <c r="G6" s="1" t="s">
        <v>1</v>
      </c>
      <c r="H6" s="1">
        <v>25</v>
      </c>
      <c r="I6" s="1" t="s">
        <v>41</v>
      </c>
      <c r="J6" s="1" t="s">
        <v>23</v>
      </c>
      <c r="P6" s="9" t="s">
        <v>64</v>
      </c>
      <c r="Q6" s="14">
        <f>Q5</f>
        <v>0.12909944487358055</v>
      </c>
      <c r="R6" s="14">
        <f t="shared" ref="R6:T6" si="3">R5</f>
        <v>0.12909944487358055</v>
      </c>
      <c r="S6" s="14">
        <f t="shared" si="3"/>
        <v>0.12909944487358055</v>
      </c>
      <c r="T6" s="14">
        <f t="shared" si="3"/>
        <v>0.12909944487358055</v>
      </c>
      <c r="U6" s="14" t="s">
        <v>43</v>
      </c>
      <c r="V6" s="9" t="s">
        <v>66</v>
      </c>
    </row>
    <row r="7" spans="1:27" ht="18" x14ac:dyDescent="0.35">
      <c r="A7">
        <v>0</v>
      </c>
      <c r="B7">
        <v>0</v>
      </c>
      <c r="C7">
        <v>0</v>
      </c>
      <c r="D7">
        <v>0</v>
      </c>
      <c r="E7">
        <v>0</v>
      </c>
      <c r="G7" s="1" t="s">
        <v>3</v>
      </c>
      <c r="H7" s="1">
        <v>967.9</v>
      </c>
      <c r="I7" s="1" t="s">
        <v>42</v>
      </c>
      <c r="J7" s="1" t="s">
        <v>24</v>
      </c>
      <c r="P7" s="9" t="s">
        <v>69</v>
      </c>
      <c r="Q7" s="9">
        <v>3</v>
      </c>
      <c r="R7" s="9">
        <v>3</v>
      </c>
      <c r="S7" s="9">
        <v>3</v>
      </c>
      <c r="T7" s="9">
        <v>3</v>
      </c>
      <c r="U7" s="9" t="s">
        <v>46</v>
      </c>
      <c r="V7" s="9" t="s">
        <v>70</v>
      </c>
    </row>
    <row r="8" spans="1:27" ht="18" x14ac:dyDescent="0.35">
      <c r="B8">
        <v>0</v>
      </c>
      <c r="C8">
        <v>0</v>
      </c>
      <c r="D8">
        <v>0</v>
      </c>
      <c r="E8">
        <v>0</v>
      </c>
      <c r="G8" s="2" t="s">
        <v>4</v>
      </c>
      <c r="H8" s="2">
        <v>90</v>
      </c>
      <c r="I8" s="1" t="s">
        <v>74</v>
      </c>
      <c r="J8" s="1" t="s">
        <v>25</v>
      </c>
      <c r="P8" s="6" t="s">
        <v>40</v>
      </c>
      <c r="Q8" s="6"/>
      <c r="R8" s="6"/>
      <c r="S8" s="6"/>
      <c r="T8" s="6"/>
      <c r="U8" s="6"/>
      <c r="V8" s="6"/>
    </row>
    <row r="9" spans="1:27" ht="18" x14ac:dyDescent="0.35">
      <c r="C9">
        <f>SIN(0)</f>
        <v>0</v>
      </c>
      <c r="G9" s="2" t="s">
        <v>5</v>
      </c>
      <c r="H9" s="2">
        <f>90-H8</f>
        <v>0</v>
      </c>
      <c r="I9" s="1" t="s">
        <v>74</v>
      </c>
      <c r="P9" s="6" t="s">
        <v>10</v>
      </c>
      <c r="Q9" s="6">
        <f>Q2*Q3</f>
        <v>1.0000000000000002E-2</v>
      </c>
      <c r="R9" s="6">
        <f t="shared" ref="R9:T9" si="4">R2*R3</f>
        <v>1.0000000000000002E-2</v>
      </c>
      <c r="S9" s="6">
        <f t="shared" si="4"/>
        <v>1.0000000000000002E-2</v>
      </c>
      <c r="T9" s="6">
        <f t="shared" si="4"/>
        <v>1.0000000000000002E-2</v>
      </c>
      <c r="U9" s="6" t="s">
        <v>44</v>
      </c>
      <c r="V9" s="6" t="s">
        <v>47</v>
      </c>
    </row>
    <row r="10" spans="1:27" ht="18" x14ac:dyDescent="0.35">
      <c r="P10" s="6" t="s">
        <v>11</v>
      </c>
      <c r="Q10" s="6">
        <f>2*Q5^2+4*Q6*Q4 - Q9</f>
        <v>5.4317200102992659E-2</v>
      </c>
      <c r="R10" s="6">
        <f>2*R5^2+4*R6*R4 - R9</f>
        <v>5.4317200102992659E-2</v>
      </c>
      <c r="S10" s="6">
        <f>2*S5^2+4*S6*S4 - S9</f>
        <v>5.4317200102992659E-2</v>
      </c>
      <c r="T10" s="6">
        <f>2*T5^2+4*T6*T4 - T9</f>
        <v>5.4317200102992659E-2</v>
      </c>
      <c r="U10" s="6" t="s">
        <v>44</v>
      </c>
      <c r="V10" s="6" t="s">
        <v>29</v>
      </c>
    </row>
    <row r="11" spans="1:27" ht="18" x14ac:dyDescent="0.35">
      <c r="B11" s="13" t="s">
        <v>58</v>
      </c>
      <c r="D11" s="12"/>
      <c r="P11" s="6" t="s">
        <v>12</v>
      </c>
      <c r="Q11" s="6">
        <v>1E-3</v>
      </c>
      <c r="R11" s="6">
        <v>1E-3</v>
      </c>
      <c r="S11" s="6">
        <v>1E-3</v>
      </c>
      <c r="T11" s="6">
        <v>1E-3</v>
      </c>
      <c r="U11" s="6" t="s">
        <v>45</v>
      </c>
      <c r="V11" s="6" t="s">
        <v>30</v>
      </c>
    </row>
    <row r="12" spans="1:27" ht="18.75" x14ac:dyDescent="0.35">
      <c r="B12" t="s">
        <v>55</v>
      </c>
      <c r="C12" t="s">
        <v>56</v>
      </c>
      <c r="D12" t="s">
        <v>57</v>
      </c>
      <c r="P12" s="7" t="s">
        <v>13</v>
      </c>
      <c r="Q12" s="7">
        <f>1/(Q18/Q21+Q19/Q22+Q20/Q23)</f>
        <v>2.024274840567784</v>
      </c>
      <c r="R12" s="7">
        <f>1/(R18/R21+R19/R22+R20/R23)</f>
        <v>2.024274840567784</v>
      </c>
      <c r="S12" s="7">
        <f>1/(S18/S21+S19/S22+S20/S23)</f>
        <v>2.024274840567784</v>
      </c>
      <c r="T12" s="7">
        <f>1/(T18/T21+T19/T22+T20/T23)</f>
        <v>2.024274840567784</v>
      </c>
      <c r="U12" s="6" t="s">
        <v>46</v>
      </c>
      <c r="V12" s="6" t="s">
        <v>35</v>
      </c>
    </row>
    <row r="13" spans="1:27" x14ac:dyDescent="0.25">
      <c r="B13">
        <v>66</v>
      </c>
      <c r="C13">
        <v>10.1</v>
      </c>
      <c r="D13">
        <v>4.88</v>
      </c>
      <c r="P13" s="7" t="s">
        <v>71</v>
      </c>
      <c r="Q13" s="7">
        <f>Q2*Q7</f>
        <v>0.30000000000000004</v>
      </c>
      <c r="R13" s="7">
        <f t="shared" ref="R13:T13" si="5">R2*R7</f>
        <v>0.30000000000000004</v>
      </c>
      <c r="S13" s="7">
        <f t="shared" si="5"/>
        <v>0.30000000000000004</v>
      </c>
      <c r="T13" s="7">
        <f t="shared" si="5"/>
        <v>0.30000000000000004</v>
      </c>
      <c r="U13" s="6" t="s">
        <v>43</v>
      </c>
      <c r="V13" s="6" t="s">
        <v>75</v>
      </c>
    </row>
    <row r="14" spans="1:27" x14ac:dyDescent="0.25">
      <c r="B14">
        <v>93</v>
      </c>
      <c r="C14">
        <v>13.9</v>
      </c>
      <c r="D14">
        <v>6.69</v>
      </c>
      <c r="P14" s="7" t="s">
        <v>0</v>
      </c>
      <c r="Q14" s="7">
        <f>DEGREES(ASIN((-Q7+SQRT(Q7^2+8))/4))</f>
        <v>16.306548523887216</v>
      </c>
      <c r="R14" s="7">
        <f>DEGREES(ASIN((-R7+SQRT(R7^2+8))/4))</f>
        <v>16.306548523887216</v>
      </c>
      <c r="S14" s="7">
        <f t="shared" ref="S14:T14" si="6">DEGREES(ASIN((-S7+SQRT(S7^2+8))/4))</f>
        <v>16.306548523887216</v>
      </c>
      <c r="T14" s="7">
        <f t="shared" si="6"/>
        <v>16.306548523887216</v>
      </c>
      <c r="U14" s="6" t="s">
        <v>74</v>
      </c>
      <c r="V14" s="6" t="s">
        <v>76</v>
      </c>
    </row>
    <row r="15" spans="1:27" x14ac:dyDescent="0.25">
      <c r="B15">
        <v>121</v>
      </c>
      <c r="C15">
        <v>18.66</v>
      </c>
      <c r="D15">
        <v>8.9600000000000009</v>
      </c>
      <c r="P15" s="15" t="s">
        <v>72</v>
      </c>
      <c r="Q15" s="7">
        <f>90+Q14</f>
        <v>106.30654852388722</v>
      </c>
      <c r="R15" s="7">
        <f t="shared" ref="R15:T15" si="7">90+R14</f>
        <v>106.30654852388722</v>
      </c>
      <c r="S15" s="7">
        <f t="shared" si="7"/>
        <v>106.30654852388722</v>
      </c>
      <c r="T15" s="7">
        <f t="shared" si="7"/>
        <v>106.30654852388722</v>
      </c>
      <c r="U15" s="6" t="s">
        <v>74</v>
      </c>
      <c r="V15" s="6" t="s">
        <v>77</v>
      </c>
    </row>
    <row r="16" spans="1:27" x14ac:dyDescent="0.25">
      <c r="B16">
        <v>149</v>
      </c>
      <c r="C16">
        <v>24.34</v>
      </c>
      <c r="D16">
        <v>11.74</v>
      </c>
      <c r="P16" s="7" t="s">
        <v>73</v>
      </c>
      <c r="Q16" s="7">
        <f>1+4*$H$4*Q7*SIN(RADIANS(Q14))</f>
        <v>3.3585218137970867</v>
      </c>
      <c r="R16" s="7">
        <f t="shared" ref="R16:T16" si="8">1+4*$H$4*R7*SIN(RADIANS(R14))</f>
        <v>3.3585218137970867</v>
      </c>
      <c r="S16" s="7">
        <f t="shared" si="8"/>
        <v>3.3585218137970867</v>
      </c>
      <c r="T16" s="7">
        <f t="shared" si="8"/>
        <v>3.3585218137970867</v>
      </c>
      <c r="U16" s="6" t="s">
        <v>46</v>
      </c>
      <c r="V16" s="6" t="s">
        <v>78</v>
      </c>
    </row>
    <row r="17" spans="2:22" x14ac:dyDescent="0.25">
      <c r="B17">
        <v>177</v>
      </c>
      <c r="C17">
        <v>31.6</v>
      </c>
      <c r="D17">
        <v>15.2</v>
      </c>
      <c r="P17" s="11" t="s">
        <v>49</v>
      </c>
      <c r="Q17" s="10"/>
      <c r="R17" s="10"/>
      <c r="S17" s="10"/>
      <c r="T17" s="10"/>
      <c r="U17" s="10"/>
      <c r="V17" s="10"/>
    </row>
    <row r="18" spans="2:22" x14ac:dyDescent="0.25">
      <c r="B18">
        <v>204</v>
      </c>
      <c r="C18">
        <v>40.11</v>
      </c>
      <c r="D18">
        <v>19.350000000000001</v>
      </c>
      <c r="P18" s="10" t="s">
        <v>14</v>
      </c>
      <c r="Q18" s="10">
        <v>2.8E-3</v>
      </c>
      <c r="R18" s="10">
        <v>2.8E-3</v>
      </c>
      <c r="S18" s="10">
        <v>2.8E-3</v>
      </c>
      <c r="T18" s="10">
        <v>2.8E-3</v>
      </c>
      <c r="U18" s="10" t="s">
        <v>43</v>
      </c>
      <c r="V18" s="10" t="s">
        <v>31</v>
      </c>
    </row>
    <row r="19" spans="2:22" x14ac:dyDescent="0.25">
      <c r="P19" s="10" t="s">
        <v>15</v>
      </c>
      <c r="Q19" s="10">
        <v>0.05</v>
      </c>
      <c r="R19" s="10">
        <v>0.05</v>
      </c>
      <c r="S19" s="10">
        <v>0.05</v>
      </c>
      <c r="T19" s="10">
        <v>0.05</v>
      </c>
      <c r="U19" s="10" t="s">
        <v>43</v>
      </c>
      <c r="V19" s="10" t="s">
        <v>32</v>
      </c>
    </row>
    <row r="20" spans="2:22" x14ac:dyDescent="0.25">
      <c r="P20" s="10" t="s">
        <v>16</v>
      </c>
      <c r="Q20" s="10">
        <v>2.8E-3</v>
      </c>
      <c r="R20" s="10">
        <v>2.8E-3</v>
      </c>
      <c r="S20" s="10">
        <v>2.8E-3</v>
      </c>
      <c r="T20" s="10">
        <v>2.8E-3</v>
      </c>
      <c r="U20" s="10" t="s">
        <v>43</v>
      </c>
      <c r="V20" s="10" t="s">
        <v>33</v>
      </c>
    </row>
    <row r="21" spans="2:22" ht="17.25" x14ac:dyDescent="0.25">
      <c r="P21" s="10" t="s">
        <v>17</v>
      </c>
      <c r="Q21" s="10">
        <v>6.4000000000000001E-2</v>
      </c>
      <c r="R21" s="10">
        <v>6.4000000000000001E-2</v>
      </c>
      <c r="S21" s="10">
        <v>6.4000000000000001E-2</v>
      </c>
      <c r="T21" s="10">
        <v>6.4000000000000001E-2</v>
      </c>
      <c r="U21" s="10" t="s">
        <v>48</v>
      </c>
      <c r="V21" s="10" t="s">
        <v>34</v>
      </c>
    </row>
    <row r="22" spans="2:22" ht="17.25" x14ac:dyDescent="0.25">
      <c r="P22" s="10" t="s">
        <v>18</v>
      </c>
      <c r="Q22" s="10">
        <v>0.123</v>
      </c>
      <c r="R22" s="10">
        <v>0.123</v>
      </c>
      <c r="S22" s="10">
        <v>0.123</v>
      </c>
      <c r="T22" s="10">
        <v>0.123</v>
      </c>
      <c r="U22" s="10" t="s">
        <v>48</v>
      </c>
      <c r="V22" s="10" t="s">
        <v>36</v>
      </c>
    </row>
    <row r="23" spans="2:22" ht="17.25" x14ac:dyDescent="0.25">
      <c r="P23" s="10" t="s">
        <v>19</v>
      </c>
      <c r="Q23" s="10">
        <v>6.4000000000000001E-2</v>
      </c>
      <c r="R23" s="10">
        <v>6.4000000000000001E-2</v>
      </c>
      <c r="S23" s="10">
        <v>6.4000000000000001E-2</v>
      </c>
      <c r="T23" s="10">
        <v>6.4000000000000001E-2</v>
      </c>
      <c r="U23" s="10" t="s">
        <v>48</v>
      </c>
      <c r="V23" s="10" t="s">
        <v>37</v>
      </c>
    </row>
  </sheetData>
  <mergeCells count="1">
    <mergeCell ref="B1:E1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sMulticols">
                <anchor moveWithCells="1" sizeWithCells="1">
                  <from>
                    <xdr:col>0</xdr:col>
                    <xdr:colOff>323850</xdr:colOff>
                    <xdr:row>6</xdr:row>
                    <xdr:rowOff>152400</xdr:rowOff>
                  </from>
                  <to>
                    <xdr:col>2</xdr:col>
                    <xdr:colOff>276225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sMulticols2">
                <anchor moveWithCells="1" sizeWithCells="1">
                  <from>
                    <xdr:col>0</xdr:col>
                    <xdr:colOff>323850</xdr:colOff>
                    <xdr:row>8</xdr:row>
                    <xdr:rowOff>9525</xdr:rowOff>
                  </from>
                  <to>
                    <xdr:col>2</xdr:col>
                    <xdr:colOff>295275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Marshall Hart</dc:creator>
  <cp:lastModifiedBy>Marshall Hart</cp:lastModifiedBy>
  <dcterms:created xsi:type="dcterms:W3CDTF">2019-12-07T23:18:50Z</dcterms:created>
  <dcterms:modified xsi:type="dcterms:W3CDTF">2020-01-28T03:29:06Z</dcterms:modified>
</cp:coreProperties>
</file>